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AFDC94D9-9270-4E14-9E9C-45BD147709C8}" xr6:coauthVersionLast="47" xr6:coauthVersionMax="47" xr10:uidLastSave="{00000000-0000-0000-0000-000000000000}"/>
  <bookViews>
    <workbookView xWindow="-108" yWindow="-108" windowWidth="23256" windowHeight="12456" activeTab="2" xr2:uid="{3AE9B03F-6C07-4C29-9C08-DD0686FA1CFD}"/>
  </bookViews>
  <sheets>
    <sheet name="data_anggota" sheetId="1" r:id="rId1"/>
    <sheet name="data_buku" sheetId="3" r:id="rId2"/>
    <sheet name="data_peminjama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9" i="2" l="1"/>
  <c r="M18" i="2"/>
  <c r="M17" i="2"/>
  <c r="M16" i="2"/>
  <c r="M15" i="2"/>
  <c r="M14" i="2"/>
</calcChain>
</file>

<file path=xl/sharedStrings.xml><?xml version="1.0" encoding="utf-8"?>
<sst xmlns="http://schemas.openxmlformats.org/spreadsheetml/2006/main" count="441" uniqueCount="179">
  <si>
    <t>da_id</t>
  </si>
  <si>
    <t>Data Anggota</t>
  </si>
  <si>
    <t>da_id_number</t>
  </si>
  <si>
    <t>ID Table</t>
  </si>
  <si>
    <t>ID Member</t>
  </si>
  <si>
    <t>Member Name</t>
  </si>
  <si>
    <t>da_name</t>
  </si>
  <si>
    <t>Address</t>
  </si>
  <si>
    <t>da_address</t>
  </si>
  <si>
    <t>Phone Number</t>
  </si>
  <si>
    <t>da_phone_number</t>
  </si>
  <si>
    <t>Regist Date</t>
  </si>
  <si>
    <t>da_date_reg</t>
  </si>
  <si>
    <t>varchar</t>
  </si>
  <si>
    <t>text</t>
  </si>
  <si>
    <t>int</t>
  </si>
  <si>
    <t>LIB001</t>
  </si>
  <si>
    <t>Andi Prasetyo</t>
  </si>
  <si>
    <t>Jl. Melati Indah No. 12, RT 003/RW 005, Kel. Cempaka Baru, Kec. Kemayoran, Jakarta Pusat, DKI Jakarta 10640</t>
  </si>
  <si>
    <t>LIB002</t>
  </si>
  <si>
    <t>Siti Rahma</t>
  </si>
  <si>
    <t>Jl. Kenanga Raya No. 45, RT 002/RW 008, Kel. Pondok Kacang Timur, Kec. Pondok Aren, Tangerang Selatan, Banten 15226</t>
  </si>
  <si>
    <t>LIB003</t>
  </si>
  <si>
    <t>Budi Santoso</t>
  </si>
  <si>
    <t>Jl. Anggrek Permai Blok B3 No. 7, RT 004/RW 006, Kel. Harapan Jaya, Kec. Bekasi Utara, Bekasi, Jawa Barat 17124</t>
  </si>
  <si>
    <t>LIB004</t>
  </si>
  <si>
    <t>Dewi Lestari</t>
  </si>
  <si>
    <t>Jl. Flamboyan Asri No. 21, RT 001/RW 004, Kel. Sukmajaya, Kec. Sukmajaya, Depok, Jawa Barat 16412</t>
  </si>
  <si>
    <t>LIB005</t>
  </si>
  <si>
    <t>Rizky Kurniawan</t>
  </si>
  <si>
    <t>Jl. Teratai Hijau No. 18, RT 005/RW 007, Kel. Bojong Nangka, Kec. Kelapa Dua, Tangerang, Banten 15810</t>
  </si>
  <si>
    <t>LIB006</t>
  </si>
  <si>
    <t>Maya Putri</t>
  </si>
  <si>
    <t>Jl. Cemara Residence Blok C2 No. 10, RT 003/RW 009, Kel. Jatiasih, Kec. Jatiasih, Bekasi, Jawa Barat 17423</t>
  </si>
  <si>
    <t>LIB007</t>
  </si>
  <si>
    <t>Fajar Nugroho</t>
  </si>
  <si>
    <t>Jl. Dahlia Utama No. 33, RT 002/RW 003, Kel. Ciracas, Kec. Ciracas, Jakarta Timur, DKI Jakarta 13740</t>
  </si>
  <si>
    <t>LIB008</t>
  </si>
  <si>
    <t>Intan Permata</t>
  </si>
  <si>
    <t>Jl. Mawar Residence No. 9, RT 006/RW 002, Kel. Tanah Sareal, Kec. Tanah Sareal, Bogor, Jawa Barat 16161</t>
  </si>
  <si>
    <t>LIB009</t>
  </si>
  <si>
    <t>Agung Saputra</t>
  </si>
  <si>
    <t>Jl. Puspa Kencana No. 56, RT 004/RW 005, Kel. Ciputat, Kec. Ciputat, Tangerang Selatan, Banten 15411</t>
  </si>
  <si>
    <t>LIB010</t>
  </si>
  <si>
    <t>Nadia Aulia</t>
  </si>
  <si>
    <t>Jl. Sakura Garden Blok D5 No. 14, RT 001/RW 010, Kel. Kalibaru, Kec. Cilodong, Depok, Jawa Barat 16413</t>
  </si>
  <si>
    <t>'+6281234567810</t>
  </si>
  <si>
    <t>'+6281356789021</t>
  </si>
  <si>
    <t>'+6282145678132</t>
  </si>
  <si>
    <t>'+6285723459243</t>
  </si>
  <si>
    <t>'+6281967891354</t>
  </si>
  <si>
    <t>'+6282278902465</t>
  </si>
  <si>
    <t>'+6281789013576</t>
  </si>
  <si>
    <t>'+6285190124687</t>
  </si>
  <si>
    <t>'+6281501235798</t>
  </si>
  <si>
    <t>'+6282312346809</t>
  </si>
  <si>
    <t>Data Buku</t>
  </si>
  <si>
    <t>db_id</t>
  </si>
  <si>
    <t>ID Book</t>
  </si>
  <si>
    <t>Title Book</t>
  </si>
  <si>
    <t>Writer's Name</t>
  </si>
  <si>
    <t>Category</t>
  </si>
  <si>
    <t>Release Date</t>
  </si>
  <si>
    <t>Stock</t>
  </si>
  <si>
    <t>db_id_book</t>
  </si>
  <si>
    <t>db_title_book</t>
  </si>
  <si>
    <t>db_writer_name</t>
  </si>
  <si>
    <t>db_category</t>
  </si>
  <si>
    <t>db_release_date</t>
  </si>
  <si>
    <t>db_stock</t>
  </si>
  <si>
    <t>id</t>
  </si>
  <si>
    <t>da_regist_date</t>
  </si>
  <si>
    <t>date (yyyy-mm-dd)</t>
  </si>
  <si>
    <t>integer</t>
  </si>
  <si>
    <t>Self Improvement</t>
  </si>
  <si>
    <t>Atomic Habits</t>
  </si>
  <si>
    <t>James Clear</t>
  </si>
  <si>
    <t>The Power of Discipline</t>
  </si>
  <si>
    <t>Daniel Walter</t>
  </si>
  <si>
    <t>Mindset</t>
  </si>
  <si>
    <t>Carol S. Dweck</t>
  </si>
  <si>
    <t>Deep Work</t>
  </si>
  <si>
    <t>Cal Newport</t>
  </si>
  <si>
    <t>The 7 Habits of Highly Effective People</t>
  </si>
  <si>
    <t>Stephen R. Covey</t>
  </si>
  <si>
    <t>Fiction</t>
  </si>
  <si>
    <t>The Midnight Library</t>
  </si>
  <si>
    <t>Matt Haig</t>
  </si>
  <si>
    <t>Project Hail Mary</t>
  </si>
  <si>
    <t>Andy Weir</t>
  </si>
  <si>
    <t>Where the Crawdads Sing</t>
  </si>
  <si>
    <t>Delia Owens</t>
  </si>
  <si>
    <t>The Silent Patient</t>
  </si>
  <si>
    <t>Alex Michaelides</t>
  </si>
  <si>
    <t>Klara and the Sun</t>
  </si>
  <si>
    <t>Kazuo Ishiguro</t>
  </si>
  <si>
    <t>The Alchemist</t>
  </si>
  <si>
    <t>Paulo Coelho</t>
  </si>
  <si>
    <t>Norwegian Wood</t>
  </si>
  <si>
    <t>Haruki Murakami</t>
  </si>
  <si>
    <t>Filsafat</t>
  </si>
  <si>
    <t>Meditations</t>
  </si>
  <si>
    <t>Marcus Aurelius</t>
  </si>
  <si>
    <t>Beyond Good and Evil</t>
  </si>
  <si>
    <t>Friedrich Nietzsche</t>
  </si>
  <si>
    <t>The Republic</t>
  </si>
  <si>
    <t>Plato</t>
  </si>
  <si>
    <t>Thus Spoke Zarathustra</t>
  </si>
  <si>
    <t>The Art of War</t>
  </si>
  <si>
    <t>Sun Tzu</t>
  </si>
  <si>
    <t>The Myth of Sisyphus</t>
  </si>
  <si>
    <t>Albert Camus</t>
  </si>
  <si>
    <t>Being and Time</t>
  </si>
  <si>
    <t>Martin Heidegger</t>
  </si>
  <si>
    <t>Critique of Pure Reason</t>
  </si>
  <si>
    <t>Immanuel Kant</t>
  </si>
  <si>
    <t>SIM0001</t>
  </si>
  <si>
    <t>SIM0002</t>
  </si>
  <si>
    <t>SIM0003</t>
  </si>
  <si>
    <t>SIM0004</t>
  </si>
  <si>
    <t>SIM0005</t>
  </si>
  <si>
    <t>FIC0001</t>
  </si>
  <si>
    <t>FIC0002</t>
  </si>
  <si>
    <t>FIC0003</t>
  </si>
  <si>
    <t>FIC0004</t>
  </si>
  <si>
    <t>FIC0005</t>
  </si>
  <si>
    <t>FIC0006</t>
  </si>
  <si>
    <t>FIC0007</t>
  </si>
  <si>
    <t>FLS0001</t>
  </si>
  <si>
    <t>FLS0002</t>
  </si>
  <si>
    <t>FLS0003</t>
  </si>
  <si>
    <t>FLS0004</t>
  </si>
  <si>
    <t>FLS0005</t>
  </si>
  <si>
    <t>FLS0006</t>
  </si>
  <si>
    <t>FLS0007</t>
  </si>
  <si>
    <t>FLS0008</t>
  </si>
  <si>
    <t>Data Peminjaman</t>
  </si>
  <si>
    <t>dp_id</t>
  </si>
  <si>
    <t>Borrow Date</t>
  </si>
  <si>
    <t>Return Date</t>
  </si>
  <si>
    <t>Fine Amount</t>
  </si>
  <si>
    <t>dp_da_id_number</t>
  </si>
  <si>
    <t>dp_da_name</t>
  </si>
  <si>
    <t>dp_db_id_book</t>
  </si>
  <si>
    <t>dp_db_title_book</t>
  </si>
  <si>
    <t>dp_borrow_date</t>
  </si>
  <si>
    <t>dp_return_date</t>
  </si>
  <si>
    <t>dp_fine_amt</t>
  </si>
  <si>
    <t>numeric</t>
  </si>
  <si>
    <t>dp_late_days</t>
  </si>
  <si>
    <t>Overdue Days</t>
  </si>
  <si>
    <t>Tampilkan data anggota yang mendaftar setelah tahun 2024 diurutkan dari yang paling terbaru</t>
  </si>
  <si>
    <t>Soal :</t>
  </si>
  <si>
    <t>Query :</t>
  </si>
  <si>
    <t>Expected Result :</t>
  </si>
  <si>
    <t>Tampilkan buku yang memiliki stok antara 5 dan 12</t>
  </si>
  <si>
    <t>select  * from data_buku where db_stock between 5 and 12 order by db_id;</t>
  </si>
  <si>
    <t>Tampilkan jumlah buku berdasarkan kategori buku nya diurutkan dari yang paling banyak bukunya</t>
  </si>
  <si>
    <t>db_total_book</t>
  </si>
  <si>
    <t xml:space="preserve">Tampilkan report nama anggota dengan total transaksi buku yang pernah dipinjam </t>
  </si>
  <si>
    <t>dan total denda per anggota (kalau denda = 0 tulis status lunas , klo denda &gt; 0 tulis status belum lunas)</t>
  </si>
  <si>
    <t>dp_da_name,</t>
  </si>
  <si>
    <t>sum (dp_fine_amt) as dp_total_fine_amt</t>
  </si>
  <si>
    <t>order by dp_da_name;</t>
  </si>
  <si>
    <t>case when dp_total_fine_amt = 0 then 'Lunas' else 'Belum Lunas' end as dp_status</t>
  </si>
  <si>
    <t>dp_total_transaksi</t>
  </si>
  <si>
    <t>select</t>
  </si>
  <si>
    <t>dp_total_fine_amt</t>
  </si>
  <si>
    <t xml:space="preserve"> dp_status</t>
  </si>
  <si>
    <t>Belum Lunas</t>
  </si>
  <si>
    <t>Lunas</t>
  </si>
  <si>
    <t>select  * from data_anggota where extract(year from da_date_reg) &gt; 2024 order by da_date_reg desc;</t>
  </si>
  <si>
    <t>Tampilkan buku yang memiliki stok dibawah 5</t>
  </si>
  <si>
    <t>select  * from data_buku where db_stock &lt; 5 order by db_id;</t>
  </si>
  <si>
    <t xml:space="preserve">select  </t>
  </si>
  <si>
    <t xml:space="preserve">db_category, </t>
  </si>
  <si>
    <t xml:space="preserve">count (*) as db_total_book </t>
  </si>
  <si>
    <t>from data_buku group by db_category order by db_total_book desc ;</t>
  </si>
  <si>
    <t>count (dp_da_name) as dp_total_transaksi,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</si>
</sst>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Fill="1"/>
    <xf numFmtId="170" fontId="0" fillId="0" borderId="0" xfId="0" applyNumberFormat="1"/>
    <xf numFmtId="170" fontId="0" fillId="0" borderId="0" xfId="0" applyNumberFormat="1" applyAlignment="1">
      <alignment vertical="center" wrapText="1"/>
    </xf>
    <xf numFmtId="0" fontId="0" fillId="0" borderId="0" xfId="0" applyAlignment="1"/>
    <xf numFmtId="0" fontId="0" fillId="0" borderId="0" xfId="0" applyFill="1" applyAlignment="1"/>
    <xf numFmtId="0" fontId="0" fillId="0" borderId="0" xfId="0" applyAlignment="1">
      <alignment vertical="center"/>
    </xf>
    <xf numFmtId="170" fontId="0" fillId="0" borderId="0" xfId="0" applyNumberFormat="1" applyAlignment="1"/>
    <xf numFmtId="170" fontId="0" fillId="0" borderId="0" xfId="0" applyNumberFormat="1" applyAlignment="1">
      <alignment vertical="center"/>
    </xf>
    <xf numFmtId="0" fontId="0" fillId="2" borderId="0" xfId="0" applyFill="1" applyAlignment="1"/>
    <xf numFmtId="0" fontId="0" fillId="3" borderId="0" xfId="0" applyFill="1"/>
    <xf numFmtId="17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24D2-ABB3-4BD9-B2FE-4EADF778441C}">
  <dimension ref="A1:M28"/>
  <sheetViews>
    <sheetView topLeftCell="E6" workbookViewId="0">
      <selection activeCell="M11" sqref="M11"/>
    </sheetView>
  </sheetViews>
  <sheetFormatPr defaultColWidth="28.5546875" defaultRowHeight="14.4" x14ac:dyDescent="0.3"/>
  <cols>
    <col min="1" max="1" width="14.5546875" customWidth="1"/>
    <col min="5" max="5" width="38.21875" customWidth="1"/>
    <col min="6" max="6" width="14" style="5" customWidth="1"/>
    <col min="7" max="7" width="15.88671875" customWidth="1"/>
    <col min="8" max="8" width="9.5546875" customWidth="1"/>
    <col min="12" max="12" width="32.109375" customWidth="1"/>
    <col min="13" max="13" width="18.6640625" customWidth="1"/>
  </cols>
  <sheetData>
    <row r="1" spans="1:13" x14ac:dyDescent="0.3">
      <c r="A1" t="s">
        <v>1</v>
      </c>
    </row>
    <row r="2" spans="1:13" x14ac:dyDescent="0.3">
      <c r="A2" t="s">
        <v>3</v>
      </c>
      <c r="B2" s="4" t="s">
        <v>0</v>
      </c>
      <c r="C2" t="s">
        <v>70</v>
      </c>
    </row>
    <row r="3" spans="1:13" x14ac:dyDescent="0.3">
      <c r="A3" s="13" t="s">
        <v>4</v>
      </c>
      <c r="B3" s="13" t="s">
        <v>2</v>
      </c>
      <c r="C3" s="13" t="s">
        <v>13</v>
      </c>
    </row>
    <row r="4" spans="1:13" x14ac:dyDescent="0.3">
      <c r="A4" t="s">
        <v>5</v>
      </c>
      <c r="B4" t="s">
        <v>6</v>
      </c>
      <c r="C4" t="s">
        <v>13</v>
      </c>
    </row>
    <row r="5" spans="1:13" x14ac:dyDescent="0.3">
      <c r="A5" t="s">
        <v>7</v>
      </c>
      <c r="B5" t="s">
        <v>8</v>
      </c>
      <c r="C5" t="s">
        <v>14</v>
      </c>
    </row>
    <row r="6" spans="1:13" x14ac:dyDescent="0.3">
      <c r="A6" t="s">
        <v>9</v>
      </c>
      <c r="B6" t="s">
        <v>10</v>
      </c>
      <c r="C6" t="s">
        <v>73</v>
      </c>
    </row>
    <row r="7" spans="1:13" x14ac:dyDescent="0.3">
      <c r="A7" t="s">
        <v>11</v>
      </c>
      <c r="B7" t="s">
        <v>71</v>
      </c>
      <c r="C7" t="s">
        <v>72</v>
      </c>
      <c r="H7" t="s">
        <v>152</v>
      </c>
      <c r="I7" t="s">
        <v>151</v>
      </c>
    </row>
    <row r="8" spans="1:13" x14ac:dyDescent="0.3">
      <c r="H8" t="s">
        <v>153</v>
      </c>
      <c r="I8" t="s">
        <v>171</v>
      </c>
    </row>
    <row r="9" spans="1:13" x14ac:dyDescent="0.3">
      <c r="H9" t="s">
        <v>154</v>
      </c>
    </row>
    <row r="10" spans="1:13" x14ac:dyDescent="0.3">
      <c r="A10" s="4" t="s">
        <v>0</v>
      </c>
      <c r="B10" s="13" t="s">
        <v>2</v>
      </c>
      <c r="C10" t="s">
        <v>6</v>
      </c>
      <c r="D10" t="s">
        <v>10</v>
      </c>
      <c r="E10" t="s">
        <v>8</v>
      </c>
      <c r="F10" s="5" t="s">
        <v>12</v>
      </c>
      <c r="H10" s="4" t="s">
        <v>0</v>
      </c>
      <c r="I10" s="13" t="s">
        <v>2</v>
      </c>
      <c r="J10" t="s">
        <v>6</v>
      </c>
      <c r="K10" t="s">
        <v>10</v>
      </c>
      <c r="L10" t="s">
        <v>8</v>
      </c>
      <c r="M10" s="5" t="s">
        <v>12</v>
      </c>
    </row>
    <row r="11" spans="1:13" ht="43.2" x14ac:dyDescent="0.3">
      <c r="A11">
        <v>1</v>
      </c>
      <c r="B11" s="2" t="s">
        <v>16</v>
      </c>
      <c r="C11" s="2" t="s">
        <v>17</v>
      </c>
      <c r="D11" s="3" t="s">
        <v>46</v>
      </c>
      <c r="E11" s="2" t="s">
        <v>18</v>
      </c>
      <c r="F11" s="6">
        <v>44944</v>
      </c>
      <c r="H11">
        <v>10</v>
      </c>
      <c r="I11" s="2" t="s">
        <v>43</v>
      </c>
      <c r="J11" s="2" t="s">
        <v>44</v>
      </c>
      <c r="K11" s="2" t="s">
        <v>55</v>
      </c>
      <c r="L11" s="2" t="s">
        <v>45</v>
      </c>
      <c r="M11" s="6">
        <v>46239</v>
      </c>
    </row>
    <row r="12" spans="1:13" ht="43.2" x14ac:dyDescent="0.3">
      <c r="A12">
        <v>2</v>
      </c>
      <c r="B12" s="2" t="s">
        <v>19</v>
      </c>
      <c r="C12" s="2" t="s">
        <v>20</v>
      </c>
      <c r="D12" s="2" t="s">
        <v>47</v>
      </c>
      <c r="E12" s="2" t="s">
        <v>21</v>
      </c>
      <c r="F12" s="6">
        <v>45073</v>
      </c>
      <c r="H12">
        <v>9</v>
      </c>
      <c r="I12" s="2" t="s">
        <v>40</v>
      </c>
      <c r="J12" s="2" t="s">
        <v>41</v>
      </c>
      <c r="K12" s="2" t="s">
        <v>54</v>
      </c>
      <c r="L12" s="2" t="s">
        <v>42</v>
      </c>
      <c r="M12" s="6">
        <v>46097</v>
      </c>
    </row>
    <row r="13" spans="1:13" ht="43.2" x14ac:dyDescent="0.3">
      <c r="A13">
        <v>3</v>
      </c>
      <c r="B13" s="2" t="s">
        <v>22</v>
      </c>
      <c r="C13" s="2" t="s">
        <v>23</v>
      </c>
      <c r="D13" s="2" t="s">
        <v>48</v>
      </c>
      <c r="E13" s="2" t="s">
        <v>24</v>
      </c>
      <c r="F13" s="6">
        <v>45239</v>
      </c>
      <c r="H13">
        <v>8</v>
      </c>
      <c r="I13" s="2" t="s">
        <v>37</v>
      </c>
      <c r="J13" s="2" t="s">
        <v>38</v>
      </c>
      <c r="K13" s="2" t="s">
        <v>53</v>
      </c>
      <c r="L13" s="2" t="s">
        <v>39</v>
      </c>
      <c r="M13" s="6">
        <v>45928</v>
      </c>
    </row>
    <row r="14" spans="1:13" ht="43.2" x14ac:dyDescent="0.3">
      <c r="A14">
        <v>4</v>
      </c>
      <c r="B14" s="2" t="s">
        <v>25</v>
      </c>
      <c r="C14" s="2" t="s">
        <v>26</v>
      </c>
      <c r="D14" s="2" t="s">
        <v>49</v>
      </c>
      <c r="E14" s="2" t="s">
        <v>27</v>
      </c>
      <c r="F14" s="6">
        <v>45336</v>
      </c>
      <c r="H14">
        <v>7</v>
      </c>
      <c r="I14" s="2" t="s">
        <v>34</v>
      </c>
      <c r="J14" s="2" t="s">
        <v>35</v>
      </c>
      <c r="K14" s="2" t="s">
        <v>52</v>
      </c>
      <c r="L14" s="2" t="s">
        <v>36</v>
      </c>
      <c r="M14" s="6">
        <v>45758</v>
      </c>
    </row>
    <row r="15" spans="1:13" ht="43.2" x14ac:dyDescent="0.3">
      <c r="A15">
        <v>5</v>
      </c>
      <c r="B15" s="2" t="s">
        <v>28</v>
      </c>
      <c r="C15" s="2" t="s">
        <v>29</v>
      </c>
      <c r="D15" s="2" t="s">
        <v>50</v>
      </c>
      <c r="E15" s="2" t="s">
        <v>30</v>
      </c>
      <c r="F15" s="6">
        <v>45495</v>
      </c>
    </row>
    <row r="16" spans="1:13" ht="43.2" x14ac:dyDescent="0.3">
      <c r="A16">
        <v>6</v>
      </c>
      <c r="B16" s="2" t="s">
        <v>31</v>
      </c>
      <c r="C16" s="2" t="s">
        <v>32</v>
      </c>
      <c r="D16" s="2" t="s">
        <v>51</v>
      </c>
      <c r="E16" s="2" t="s">
        <v>33</v>
      </c>
      <c r="F16" s="6">
        <v>45629</v>
      </c>
    </row>
    <row r="17" spans="1:13" ht="43.2" x14ac:dyDescent="0.3">
      <c r="A17">
        <v>7</v>
      </c>
      <c r="B17" s="2" t="s">
        <v>34</v>
      </c>
      <c r="C17" s="2" t="s">
        <v>35</v>
      </c>
      <c r="D17" s="2" t="s">
        <v>52</v>
      </c>
      <c r="E17" s="2" t="s">
        <v>36</v>
      </c>
      <c r="F17" s="6">
        <v>45758</v>
      </c>
    </row>
    <row r="18" spans="1:13" ht="43.2" x14ac:dyDescent="0.3">
      <c r="A18">
        <v>8</v>
      </c>
      <c r="B18" s="2" t="s">
        <v>37</v>
      </c>
      <c r="C18" s="2" t="s">
        <v>38</v>
      </c>
      <c r="D18" s="2" t="s">
        <v>53</v>
      </c>
      <c r="E18" s="2" t="s">
        <v>39</v>
      </c>
      <c r="F18" s="6">
        <v>45928</v>
      </c>
      <c r="K18" s="1"/>
      <c r="L18" s="1"/>
      <c r="M18" s="1"/>
    </row>
    <row r="19" spans="1:13" ht="43.2" x14ac:dyDescent="0.3">
      <c r="A19">
        <v>9</v>
      </c>
      <c r="B19" s="2" t="s">
        <v>40</v>
      </c>
      <c r="C19" s="2" t="s">
        <v>41</v>
      </c>
      <c r="D19" s="2" t="s">
        <v>54</v>
      </c>
      <c r="E19" s="2" t="s">
        <v>42</v>
      </c>
      <c r="F19" s="6">
        <v>46097</v>
      </c>
      <c r="K19" s="2"/>
      <c r="L19" s="2"/>
    </row>
    <row r="20" spans="1:13" ht="43.2" x14ac:dyDescent="0.3">
      <c r="A20">
        <v>10</v>
      </c>
      <c r="B20" s="2" t="s">
        <v>43</v>
      </c>
      <c r="C20" s="2" t="s">
        <v>44</v>
      </c>
      <c r="D20" s="2" t="s">
        <v>55</v>
      </c>
      <c r="E20" s="2" t="s">
        <v>45</v>
      </c>
      <c r="F20" s="6">
        <v>46239</v>
      </c>
      <c r="K20" s="2"/>
      <c r="L20" s="2"/>
    </row>
    <row r="21" spans="1:13" x14ac:dyDescent="0.3">
      <c r="K21" s="2"/>
      <c r="L21" s="2"/>
    </row>
    <row r="22" spans="1:13" x14ac:dyDescent="0.3">
      <c r="K22" s="2"/>
      <c r="L22" s="2"/>
    </row>
    <row r="23" spans="1:13" x14ac:dyDescent="0.3">
      <c r="K23" s="2"/>
      <c r="L23" s="2"/>
    </row>
    <row r="24" spans="1:13" x14ac:dyDescent="0.3">
      <c r="K24" s="2"/>
      <c r="L24" s="2"/>
    </row>
    <row r="25" spans="1:13" x14ac:dyDescent="0.3">
      <c r="K25" s="2"/>
      <c r="L25" s="2"/>
    </row>
    <row r="26" spans="1:13" x14ac:dyDescent="0.3">
      <c r="K26" s="2"/>
      <c r="L26" s="2"/>
    </row>
    <row r="27" spans="1:13" x14ac:dyDescent="0.3">
      <c r="K27" s="2"/>
      <c r="L27" s="2"/>
    </row>
    <row r="28" spans="1:13" x14ac:dyDescent="0.3">
      <c r="K28" s="2"/>
      <c r="L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A33C-25F0-4446-8A84-29E8A5C9A7F2}">
  <dimension ref="A1:U46"/>
  <sheetViews>
    <sheetView topLeftCell="B25" workbookViewId="0">
      <selection activeCell="J34" sqref="J34:K37"/>
    </sheetView>
  </sheetViews>
  <sheetFormatPr defaultRowHeight="14.4" x14ac:dyDescent="0.3"/>
  <cols>
    <col min="1" max="1" width="12.44140625" style="7" bestFit="1" customWidth="1"/>
    <col min="2" max="2" width="14.21875" style="7" bestFit="1" customWidth="1"/>
    <col min="3" max="3" width="15.6640625" style="7" bestFit="1" customWidth="1"/>
    <col min="4" max="4" width="31.5546875" style="7" bestFit="1" customWidth="1"/>
    <col min="5" max="5" width="16.6640625" style="7" bestFit="1" customWidth="1"/>
    <col min="6" max="6" width="14.21875" style="10" bestFit="1" customWidth="1"/>
    <col min="7" max="7" width="8.109375" style="7" bestFit="1" customWidth="1"/>
    <col min="8" max="9" width="8.88671875" style="7"/>
    <col min="10" max="10" width="14.6640625" style="7" bestFit="1" customWidth="1"/>
    <col min="11" max="11" width="15.6640625" style="7" customWidth="1"/>
    <col min="12" max="12" width="15" style="7" bestFit="1" customWidth="1"/>
    <col min="13" max="13" width="31.5546875" style="7" bestFit="1" customWidth="1"/>
    <col min="14" max="14" width="16.6640625" style="7" bestFit="1" customWidth="1"/>
    <col min="15" max="15" width="14.21875" style="7" bestFit="1" customWidth="1"/>
    <col min="16" max="16" width="8.109375" style="7" bestFit="1" customWidth="1"/>
    <col min="17" max="16384" width="8.88671875" style="7"/>
  </cols>
  <sheetData>
    <row r="1" spans="1:16" x14ac:dyDescent="0.3">
      <c r="A1" s="7" t="s">
        <v>56</v>
      </c>
    </row>
    <row r="2" spans="1:16" x14ac:dyDescent="0.3">
      <c r="A2" s="7" t="s">
        <v>3</v>
      </c>
      <c r="B2" s="8" t="s">
        <v>57</v>
      </c>
      <c r="C2" s="7" t="s">
        <v>70</v>
      </c>
    </row>
    <row r="3" spans="1:16" x14ac:dyDescent="0.3">
      <c r="A3" s="12" t="s">
        <v>58</v>
      </c>
      <c r="B3" s="12" t="s">
        <v>64</v>
      </c>
      <c r="C3" s="12" t="s">
        <v>13</v>
      </c>
    </row>
    <row r="4" spans="1:16" x14ac:dyDescent="0.3">
      <c r="A4" s="7" t="s">
        <v>61</v>
      </c>
      <c r="B4" s="7" t="s">
        <v>67</v>
      </c>
      <c r="C4" s="7" t="s">
        <v>13</v>
      </c>
    </row>
    <row r="5" spans="1:16" x14ac:dyDescent="0.3">
      <c r="A5" s="7" t="s">
        <v>59</v>
      </c>
      <c r="B5" s="7" t="s">
        <v>65</v>
      </c>
      <c r="C5" s="7" t="s">
        <v>13</v>
      </c>
    </row>
    <row r="6" spans="1:16" x14ac:dyDescent="0.3">
      <c r="A6" s="7" t="s">
        <v>60</v>
      </c>
      <c r="B6" s="7" t="s">
        <v>66</v>
      </c>
      <c r="C6" s="7" t="s">
        <v>13</v>
      </c>
    </row>
    <row r="7" spans="1:16" x14ac:dyDescent="0.3">
      <c r="A7" s="7" t="s">
        <v>62</v>
      </c>
      <c r="B7" s="7" t="s">
        <v>68</v>
      </c>
      <c r="C7" s="7" t="s">
        <v>72</v>
      </c>
    </row>
    <row r="8" spans="1:16" x14ac:dyDescent="0.3">
      <c r="A8" s="7" t="s">
        <v>63</v>
      </c>
      <c r="B8" s="7" t="s">
        <v>69</v>
      </c>
      <c r="C8" s="7" t="s">
        <v>15</v>
      </c>
      <c r="J8" t="s">
        <v>152</v>
      </c>
      <c r="K8" t="s">
        <v>155</v>
      </c>
    </row>
    <row r="9" spans="1:16" x14ac:dyDescent="0.3">
      <c r="J9" t="s">
        <v>153</v>
      </c>
      <c r="K9" t="s">
        <v>156</v>
      </c>
    </row>
    <row r="10" spans="1:16" x14ac:dyDescent="0.3">
      <c r="J10" t="s">
        <v>154</v>
      </c>
      <c r="K10"/>
    </row>
    <row r="11" spans="1:16" x14ac:dyDescent="0.3">
      <c r="A11" s="8" t="s">
        <v>57</v>
      </c>
      <c r="B11" s="12" t="s">
        <v>64</v>
      </c>
      <c r="C11" s="7" t="s">
        <v>67</v>
      </c>
      <c r="D11" s="7" t="s">
        <v>65</v>
      </c>
      <c r="E11" s="7" t="s">
        <v>66</v>
      </c>
      <c r="F11" s="10" t="s">
        <v>68</v>
      </c>
      <c r="G11" s="7" t="s">
        <v>69</v>
      </c>
      <c r="J11" s="8" t="s">
        <v>57</v>
      </c>
      <c r="K11" s="8" t="s">
        <v>64</v>
      </c>
      <c r="L11" s="7" t="s">
        <v>67</v>
      </c>
      <c r="M11" s="7" t="s">
        <v>65</v>
      </c>
      <c r="N11" s="7" t="s">
        <v>66</v>
      </c>
      <c r="O11" s="10" t="s">
        <v>68</v>
      </c>
      <c r="P11" s="7" t="s">
        <v>69</v>
      </c>
    </row>
    <row r="12" spans="1:16" x14ac:dyDescent="0.3">
      <c r="A12" s="9">
        <v>1</v>
      </c>
      <c r="B12" s="9" t="s">
        <v>116</v>
      </c>
      <c r="C12" s="9" t="s">
        <v>74</v>
      </c>
      <c r="D12" s="9" t="s">
        <v>75</v>
      </c>
      <c r="E12" s="9" t="s">
        <v>76</v>
      </c>
      <c r="F12" s="11">
        <v>43389</v>
      </c>
      <c r="G12" s="9">
        <v>15</v>
      </c>
      <c r="J12" s="9">
        <v>2</v>
      </c>
      <c r="K12" s="9" t="s">
        <v>117</v>
      </c>
      <c r="L12" s="9" t="s">
        <v>74</v>
      </c>
      <c r="M12" s="9" t="s">
        <v>77</v>
      </c>
      <c r="N12" s="9" t="s">
        <v>78</v>
      </c>
      <c r="O12" s="11">
        <v>43900</v>
      </c>
      <c r="P12" s="9">
        <v>12</v>
      </c>
    </row>
    <row r="13" spans="1:16" x14ac:dyDescent="0.3">
      <c r="A13" s="9">
        <v>2</v>
      </c>
      <c r="B13" s="9" t="s">
        <v>117</v>
      </c>
      <c r="C13" s="9" t="s">
        <v>74</v>
      </c>
      <c r="D13" s="9" t="s">
        <v>77</v>
      </c>
      <c r="E13" s="9" t="s">
        <v>78</v>
      </c>
      <c r="F13" s="11">
        <v>43900</v>
      </c>
      <c r="G13" s="9">
        <v>12</v>
      </c>
      <c r="J13" s="9">
        <v>3</v>
      </c>
      <c r="K13" s="9" t="s">
        <v>118</v>
      </c>
      <c r="L13" s="9" t="s">
        <v>74</v>
      </c>
      <c r="M13" s="9" t="s">
        <v>79</v>
      </c>
      <c r="N13" s="9" t="s">
        <v>80</v>
      </c>
      <c r="O13" s="11">
        <v>38776</v>
      </c>
      <c r="P13" s="9">
        <v>10</v>
      </c>
    </row>
    <row r="14" spans="1:16" x14ac:dyDescent="0.3">
      <c r="A14" s="9">
        <v>3</v>
      </c>
      <c r="B14" s="9" t="s">
        <v>118</v>
      </c>
      <c r="C14" s="9" t="s">
        <v>74</v>
      </c>
      <c r="D14" s="9" t="s">
        <v>79</v>
      </c>
      <c r="E14" s="9" t="s">
        <v>80</v>
      </c>
      <c r="F14" s="11">
        <v>38776</v>
      </c>
      <c r="G14" s="9">
        <v>10</v>
      </c>
      <c r="J14" s="9">
        <v>4</v>
      </c>
      <c r="K14" s="9" t="s">
        <v>119</v>
      </c>
      <c r="L14" s="9" t="s">
        <v>74</v>
      </c>
      <c r="M14" s="9" t="s">
        <v>81</v>
      </c>
      <c r="N14" s="9" t="s">
        <v>82</v>
      </c>
      <c r="O14" s="11">
        <v>42374</v>
      </c>
      <c r="P14" s="9">
        <v>8</v>
      </c>
    </row>
    <row r="15" spans="1:16" x14ac:dyDescent="0.3">
      <c r="A15" s="9">
        <v>4</v>
      </c>
      <c r="B15" s="9" t="s">
        <v>119</v>
      </c>
      <c r="C15" s="9" t="s">
        <v>74</v>
      </c>
      <c r="D15" s="9" t="s">
        <v>81</v>
      </c>
      <c r="E15" s="9" t="s">
        <v>82</v>
      </c>
      <c r="F15" s="11">
        <v>42374</v>
      </c>
      <c r="G15" s="9">
        <v>8</v>
      </c>
      <c r="J15" s="9">
        <v>5</v>
      </c>
      <c r="K15" s="9" t="s">
        <v>120</v>
      </c>
      <c r="L15" s="9" t="s">
        <v>74</v>
      </c>
      <c r="M15" s="9" t="s">
        <v>83</v>
      </c>
      <c r="N15" s="9" t="s">
        <v>84</v>
      </c>
      <c r="O15" s="11">
        <v>32735</v>
      </c>
      <c r="P15" s="9">
        <v>7</v>
      </c>
    </row>
    <row r="16" spans="1:16" x14ac:dyDescent="0.3">
      <c r="A16" s="9">
        <v>5</v>
      </c>
      <c r="B16" s="9" t="s">
        <v>120</v>
      </c>
      <c r="C16" s="9" t="s">
        <v>74</v>
      </c>
      <c r="D16" s="9" t="s">
        <v>83</v>
      </c>
      <c r="E16" s="9" t="s">
        <v>84</v>
      </c>
      <c r="F16" s="11">
        <v>32735</v>
      </c>
      <c r="G16" s="9">
        <v>7</v>
      </c>
      <c r="J16" s="9">
        <v>7</v>
      </c>
      <c r="K16" s="9" t="s">
        <v>122</v>
      </c>
      <c r="L16" s="9" t="s">
        <v>85</v>
      </c>
      <c r="M16" s="9" t="s">
        <v>88</v>
      </c>
      <c r="N16" s="9" t="s">
        <v>89</v>
      </c>
      <c r="O16" s="11">
        <v>44320</v>
      </c>
      <c r="P16" s="9">
        <v>9</v>
      </c>
    </row>
    <row r="17" spans="1:21" x14ac:dyDescent="0.3">
      <c r="A17" s="9">
        <v>6</v>
      </c>
      <c r="B17" s="9" t="s">
        <v>121</v>
      </c>
      <c r="C17" s="9" t="s">
        <v>85</v>
      </c>
      <c r="D17" s="9" t="s">
        <v>86</v>
      </c>
      <c r="E17" s="9" t="s">
        <v>87</v>
      </c>
      <c r="F17" s="11">
        <v>44056</v>
      </c>
      <c r="G17" s="9">
        <v>14</v>
      </c>
      <c r="J17" s="9">
        <v>8</v>
      </c>
      <c r="K17" s="9" t="s">
        <v>123</v>
      </c>
      <c r="L17" s="9" t="s">
        <v>85</v>
      </c>
      <c r="M17" s="9" t="s">
        <v>90</v>
      </c>
      <c r="N17" s="9" t="s">
        <v>91</v>
      </c>
      <c r="O17" s="11">
        <v>43326</v>
      </c>
      <c r="P17" s="9">
        <v>11</v>
      </c>
    </row>
    <row r="18" spans="1:21" x14ac:dyDescent="0.3">
      <c r="A18" s="9">
        <v>7</v>
      </c>
      <c r="B18" s="9" t="s">
        <v>122</v>
      </c>
      <c r="C18" s="9" t="s">
        <v>85</v>
      </c>
      <c r="D18" s="9" t="s">
        <v>88</v>
      </c>
      <c r="E18" s="9" t="s">
        <v>89</v>
      </c>
      <c r="F18" s="11">
        <v>44320</v>
      </c>
      <c r="G18" s="9">
        <v>9</v>
      </c>
      <c r="J18" s="9">
        <v>10</v>
      </c>
      <c r="K18" s="9" t="s">
        <v>125</v>
      </c>
      <c r="L18" s="9" t="s">
        <v>85</v>
      </c>
      <c r="M18" s="9" t="s">
        <v>94</v>
      </c>
      <c r="N18" s="9" t="s">
        <v>95</v>
      </c>
      <c r="O18" s="11">
        <v>44257</v>
      </c>
      <c r="P18" s="9">
        <v>6</v>
      </c>
    </row>
    <row r="19" spans="1:21" x14ac:dyDescent="0.3">
      <c r="A19" s="9">
        <v>8</v>
      </c>
      <c r="B19" s="9" t="s">
        <v>123</v>
      </c>
      <c r="C19" s="9" t="s">
        <v>85</v>
      </c>
      <c r="D19" s="9" t="s">
        <v>90</v>
      </c>
      <c r="E19" s="9" t="s">
        <v>91</v>
      </c>
      <c r="F19" s="11">
        <v>43326</v>
      </c>
      <c r="G19" s="9">
        <v>11</v>
      </c>
      <c r="J19" s="9">
        <v>12</v>
      </c>
      <c r="K19" s="9" t="s">
        <v>127</v>
      </c>
      <c r="L19" s="9" t="s">
        <v>85</v>
      </c>
      <c r="M19" s="9" t="s">
        <v>98</v>
      </c>
      <c r="N19" s="9" t="s">
        <v>99</v>
      </c>
      <c r="O19" s="11">
        <v>32024</v>
      </c>
      <c r="P19" s="9">
        <v>8</v>
      </c>
    </row>
    <row r="20" spans="1:21" x14ac:dyDescent="0.3">
      <c r="A20" s="9">
        <v>9</v>
      </c>
      <c r="B20" s="9" t="s">
        <v>124</v>
      </c>
      <c r="C20" s="9" t="s">
        <v>85</v>
      </c>
      <c r="D20" s="9" t="s">
        <v>92</v>
      </c>
      <c r="E20" s="9" t="s">
        <v>93</v>
      </c>
      <c r="F20" s="11">
        <v>43501</v>
      </c>
      <c r="G20" s="9">
        <v>13</v>
      </c>
      <c r="J20" s="9">
        <v>13</v>
      </c>
      <c r="K20" s="9" t="s">
        <v>128</v>
      </c>
      <c r="L20" s="9" t="s">
        <v>100</v>
      </c>
      <c r="M20" s="9" t="s">
        <v>101</v>
      </c>
      <c r="N20" s="9" t="s">
        <v>102</v>
      </c>
      <c r="O20" s="11">
        <v>42907</v>
      </c>
      <c r="P20" s="9">
        <v>10</v>
      </c>
    </row>
    <row r="21" spans="1:21" x14ac:dyDescent="0.3">
      <c r="A21" s="9">
        <v>10</v>
      </c>
      <c r="B21" s="9" t="s">
        <v>125</v>
      </c>
      <c r="C21" s="9" t="s">
        <v>85</v>
      </c>
      <c r="D21" s="9" t="s">
        <v>94</v>
      </c>
      <c r="E21" s="9" t="s">
        <v>95</v>
      </c>
      <c r="F21" s="11">
        <v>44257</v>
      </c>
      <c r="G21" s="9">
        <v>6</v>
      </c>
      <c r="J21" s="9">
        <v>14</v>
      </c>
      <c r="K21" s="9" t="s">
        <v>129</v>
      </c>
      <c r="L21" s="9" t="s">
        <v>100</v>
      </c>
      <c r="M21" s="9" t="s">
        <v>103</v>
      </c>
      <c r="N21" s="9" t="s">
        <v>104</v>
      </c>
      <c r="O21" s="11">
        <v>42326</v>
      </c>
      <c r="P21" s="9">
        <v>5</v>
      </c>
    </row>
    <row r="22" spans="1:21" x14ac:dyDescent="0.3">
      <c r="A22" s="9">
        <v>11</v>
      </c>
      <c r="B22" s="9" t="s">
        <v>126</v>
      </c>
      <c r="C22" s="9" t="s">
        <v>85</v>
      </c>
      <c r="D22" s="9" t="s">
        <v>96</v>
      </c>
      <c r="E22" s="9" t="s">
        <v>97</v>
      </c>
      <c r="F22" s="11">
        <v>32248</v>
      </c>
      <c r="G22" s="9">
        <v>20</v>
      </c>
      <c r="J22" s="9">
        <v>15</v>
      </c>
      <c r="K22" s="9" t="s">
        <v>130</v>
      </c>
      <c r="L22" s="9" t="s">
        <v>100</v>
      </c>
      <c r="M22" s="9" t="s">
        <v>105</v>
      </c>
      <c r="N22" s="9" t="s">
        <v>106</v>
      </c>
      <c r="O22" s="11">
        <v>41099</v>
      </c>
      <c r="P22" s="9">
        <v>7</v>
      </c>
    </row>
    <row r="23" spans="1:21" x14ac:dyDescent="0.3">
      <c r="A23" s="9">
        <v>12</v>
      </c>
      <c r="B23" s="9" t="s">
        <v>127</v>
      </c>
      <c r="C23" s="9" t="s">
        <v>85</v>
      </c>
      <c r="D23" s="9" t="s">
        <v>98</v>
      </c>
      <c r="E23" s="9" t="s">
        <v>99</v>
      </c>
      <c r="F23" s="11">
        <v>32024</v>
      </c>
      <c r="G23" s="9">
        <v>8</v>
      </c>
      <c r="J23" s="9">
        <v>18</v>
      </c>
      <c r="K23" s="9" t="s">
        <v>133</v>
      </c>
      <c r="L23" s="9" t="s">
        <v>100</v>
      </c>
      <c r="M23" s="9" t="s">
        <v>110</v>
      </c>
      <c r="N23" s="9" t="s">
        <v>111</v>
      </c>
      <c r="O23" s="11">
        <v>38625</v>
      </c>
      <c r="P23" s="9">
        <v>9</v>
      </c>
    </row>
    <row r="24" spans="1:21" x14ac:dyDescent="0.3">
      <c r="A24" s="9">
        <v>13</v>
      </c>
      <c r="B24" s="9" t="s">
        <v>128</v>
      </c>
      <c r="C24" s="9" t="s">
        <v>100</v>
      </c>
      <c r="D24" s="9" t="s">
        <v>101</v>
      </c>
      <c r="E24" s="9" t="s">
        <v>102</v>
      </c>
      <c r="F24" s="11">
        <v>42907</v>
      </c>
      <c r="G24" s="9">
        <v>10</v>
      </c>
    </row>
    <row r="25" spans="1:21" x14ac:dyDescent="0.3">
      <c r="A25" s="9">
        <v>14</v>
      </c>
      <c r="B25" s="9" t="s">
        <v>129</v>
      </c>
      <c r="C25" s="9" t="s">
        <v>100</v>
      </c>
      <c r="D25" s="9" t="s">
        <v>103</v>
      </c>
      <c r="E25" s="9" t="s">
        <v>104</v>
      </c>
      <c r="F25" s="11">
        <v>42326</v>
      </c>
      <c r="G25" s="9">
        <v>5</v>
      </c>
    </row>
    <row r="26" spans="1:21" x14ac:dyDescent="0.3">
      <c r="A26" s="9">
        <v>15</v>
      </c>
      <c r="B26" s="9" t="s">
        <v>130</v>
      </c>
      <c r="C26" s="9" t="s">
        <v>100</v>
      </c>
      <c r="D26" s="9" t="s">
        <v>105</v>
      </c>
      <c r="E26" s="9" t="s">
        <v>106</v>
      </c>
      <c r="F26" s="11">
        <v>41099</v>
      </c>
      <c r="G26" s="9">
        <v>7</v>
      </c>
    </row>
    <row r="27" spans="1:21" x14ac:dyDescent="0.3">
      <c r="A27" s="9">
        <v>16</v>
      </c>
      <c r="B27" s="9" t="s">
        <v>131</v>
      </c>
      <c r="C27" s="9" t="s">
        <v>100</v>
      </c>
      <c r="D27" s="9" t="s">
        <v>107</v>
      </c>
      <c r="E27" s="9" t="s">
        <v>104</v>
      </c>
      <c r="F27" s="11">
        <v>40295</v>
      </c>
      <c r="G27" s="9">
        <v>4</v>
      </c>
    </row>
    <row r="28" spans="1:21" x14ac:dyDescent="0.3">
      <c r="A28" s="9">
        <v>17</v>
      </c>
      <c r="B28" s="9" t="s">
        <v>132</v>
      </c>
      <c r="C28" s="9" t="s">
        <v>100</v>
      </c>
      <c r="D28" s="9" t="s">
        <v>108</v>
      </c>
      <c r="E28" s="9" t="s">
        <v>109</v>
      </c>
      <c r="F28" s="11">
        <v>39793</v>
      </c>
      <c r="G28" s="9">
        <v>16</v>
      </c>
      <c r="J28" t="s">
        <v>152</v>
      </c>
      <c r="K28" t="s">
        <v>157</v>
      </c>
    </row>
    <row r="29" spans="1:21" x14ac:dyDescent="0.3">
      <c r="A29" s="9">
        <v>18</v>
      </c>
      <c r="B29" s="9" t="s">
        <v>133</v>
      </c>
      <c r="C29" s="9" t="s">
        <v>100</v>
      </c>
      <c r="D29" s="9" t="s">
        <v>110</v>
      </c>
      <c r="E29" s="9" t="s">
        <v>111</v>
      </c>
      <c r="F29" s="11">
        <v>38625</v>
      </c>
      <c r="G29" s="9">
        <v>9</v>
      </c>
      <c r="J29" t="s">
        <v>153</v>
      </c>
      <c r="K29" t="s">
        <v>174</v>
      </c>
    </row>
    <row r="30" spans="1:21" x14ac:dyDescent="0.3">
      <c r="A30" s="9">
        <v>19</v>
      </c>
      <c r="B30" s="9" t="s">
        <v>134</v>
      </c>
      <c r="C30" s="9" t="s">
        <v>100</v>
      </c>
      <c r="D30" s="9" t="s">
        <v>112</v>
      </c>
      <c r="E30" s="9" t="s">
        <v>113</v>
      </c>
      <c r="F30" s="11">
        <v>36969</v>
      </c>
      <c r="G30" s="9">
        <v>3</v>
      </c>
      <c r="K30" s="7" t="s">
        <v>175</v>
      </c>
      <c r="T30" t="s">
        <v>154</v>
      </c>
      <c r="U30"/>
    </row>
    <row r="31" spans="1:21" x14ac:dyDescent="0.3">
      <c r="A31" s="9">
        <v>20</v>
      </c>
      <c r="B31" s="9" t="s">
        <v>135</v>
      </c>
      <c r="C31" s="9" t="s">
        <v>100</v>
      </c>
      <c r="D31" s="9" t="s">
        <v>114</v>
      </c>
      <c r="E31" s="9" t="s">
        <v>115</v>
      </c>
      <c r="F31" s="11">
        <v>35937</v>
      </c>
      <c r="G31" s="9">
        <v>2</v>
      </c>
      <c r="K31" s="7" t="s">
        <v>176</v>
      </c>
      <c r="T31" s="7" t="s">
        <v>67</v>
      </c>
      <c r="U31" s="7" t="s">
        <v>158</v>
      </c>
    </row>
    <row r="32" spans="1:21" x14ac:dyDescent="0.3">
      <c r="K32" s="7" t="s">
        <v>177</v>
      </c>
      <c r="T32" s="7" t="s">
        <v>100</v>
      </c>
      <c r="U32" s="7">
        <v>8</v>
      </c>
    </row>
    <row r="33" spans="6:21" x14ac:dyDescent="0.3">
      <c r="J33" s="7" t="s">
        <v>154</v>
      </c>
      <c r="T33" s="7" t="s">
        <v>85</v>
      </c>
      <c r="U33" s="7">
        <v>7</v>
      </c>
    </row>
    <row r="34" spans="6:21" x14ac:dyDescent="0.3">
      <c r="J34" s="7" t="s">
        <v>67</v>
      </c>
      <c r="K34" s="7" t="s">
        <v>158</v>
      </c>
      <c r="T34" s="7" t="s">
        <v>74</v>
      </c>
      <c r="U34" s="7">
        <v>5</v>
      </c>
    </row>
    <row r="35" spans="6:21" x14ac:dyDescent="0.3">
      <c r="J35" s="7" t="s">
        <v>100</v>
      </c>
      <c r="K35" s="7">
        <v>8</v>
      </c>
    </row>
    <row r="36" spans="6:21" x14ac:dyDescent="0.3">
      <c r="J36" s="7" t="s">
        <v>85</v>
      </c>
      <c r="K36" s="7">
        <v>7</v>
      </c>
    </row>
    <row r="37" spans="6:21" x14ac:dyDescent="0.3">
      <c r="J37" s="7" t="s">
        <v>74</v>
      </c>
      <c r="K37" s="7">
        <v>5</v>
      </c>
    </row>
    <row r="41" spans="6:21" x14ac:dyDescent="0.3">
      <c r="F41" s="14"/>
      <c r="J41" t="s">
        <v>152</v>
      </c>
      <c r="K41" t="s">
        <v>172</v>
      </c>
    </row>
    <row r="42" spans="6:21" x14ac:dyDescent="0.3">
      <c r="J42" t="s">
        <v>153</v>
      </c>
      <c r="K42" t="s">
        <v>173</v>
      </c>
    </row>
    <row r="43" spans="6:21" x14ac:dyDescent="0.3">
      <c r="J43" t="s">
        <v>154</v>
      </c>
      <c r="K43"/>
    </row>
    <row r="44" spans="6:21" x14ac:dyDescent="0.3">
      <c r="J44" s="9">
        <v>16</v>
      </c>
      <c r="K44" s="9" t="s">
        <v>131</v>
      </c>
      <c r="L44" s="9" t="s">
        <v>100</v>
      </c>
      <c r="M44" s="9" t="s">
        <v>107</v>
      </c>
      <c r="N44" s="9" t="s">
        <v>104</v>
      </c>
      <c r="O44" s="11">
        <v>40295</v>
      </c>
      <c r="P44" s="9">
        <v>4</v>
      </c>
    </row>
    <row r="45" spans="6:21" x14ac:dyDescent="0.3">
      <c r="J45" s="9">
        <v>19</v>
      </c>
      <c r="K45" s="9" t="s">
        <v>134</v>
      </c>
      <c r="L45" s="9" t="s">
        <v>100</v>
      </c>
      <c r="M45" s="9" t="s">
        <v>112</v>
      </c>
      <c r="N45" s="9" t="s">
        <v>113</v>
      </c>
      <c r="O45" s="11">
        <v>36969</v>
      </c>
      <c r="P45" s="9">
        <v>3</v>
      </c>
    </row>
    <row r="46" spans="6:21" x14ac:dyDescent="0.3">
      <c r="J46" s="9">
        <v>20</v>
      </c>
      <c r="K46" s="9" t="s">
        <v>135</v>
      </c>
      <c r="L46" s="9" t="s">
        <v>100</v>
      </c>
      <c r="M46" s="9" t="s">
        <v>114</v>
      </c>
      <c r="N46" s="9" t="s">
        <v>115</v>
      </c>
      <c r="O46" s="11">
        <v>35937</v>
      </c>
      <c r="P46" s="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F09A-EF59-4909-B0DF-7C29DD4F9B99}">
  <dimension ref="A1:N33"/>
  <sheetViews>
    <sheetView tabSelected="1" workbookViewId="0">
      <selection activeCell="O16" sqref="O16"/>
    </sheetView>
  </sheetViews>
  <sheetFormatPr defaultRowHeight="14.4" x14ac:dyDescent="0.3"/>
  <cols>
    <col min="1" max="1" width="15.33203125" bestFit="1" customWidth="1"/>
    <col min="2" max="2" width="15.109375" bestFit="1" customWidth="1"/>
    <col min="3" max="3" width="15.6640625" bestFit="1" customWidth="1"/>
    <col min="4" max="4" width="15" bestFit="1" customWidth="1"/>
    <col min="5" max="5" width="31.5546875" bestFit="1" customWidth="1"/>
    <col min="6" max="6" width="13.88671875" style="5" bestFit="1" customWidth="1"/>
    <col min="7" max="7" width="13.109375" style="5" bestFit="1" customWidth="1"/>
    <col min="8" max="8" width="11.21875" bestFit="1" customWidth="1"/>
    <col min="9" max="9" width="10.6640625" bestFit="1" customWidth="1"/>
    <col min="11" max="11" width="15.33203125" customWidth="1"/>
    <col min="12" max="12" width="16.109375" customWidth="1"/>
    <col min="13" max="13" width="20.21875" customWidth="1"/>
    <col min="14" max="14" width="15.6640625" customWidth="1"/>
  </cols>
  <sheetData>
    <row r="1" spans="1:14" x14ac:dyDescent="0.3">
      <c r="A1" s="7" t="s">
        <v>136</v>
      </c>
      <c r="B1" s="7"/>
      <c r="C1" s="7"/>
    </row>
    <row r="2" spans="1:14" x14ac:dyDescent="0.3">
      <c r="A2" s="7" t="s">
        <v>3</v>
      </c>
      <c r="B2" s="8" t="s">
        <v>137</v>
      </c>
      <c r="C2" s="7" t="s">
        <v>70</v>
      </c>
    </row>
    <row r="3" spans="1:14" x14ac:dyDescent="0.3">
      <c r="A3" s="13" t="s">
        <v>4</v>
      </c>
      <c r="B3" s="13" t="s">
        <v>141</v>
      </c>
      <c r="C3" s="13" t="s">
        <v>13</v>
      </c>
    </row>
    <row r="4" spans="1:14" x14ac:dyDescent="0.3">
      <c r="A4" s="13" t="s">
        <v>5</v>
      </c>
      <c r="B4" s="13" t="s">
        <v>142</v>
      </c>
      <c r="C4" s="13" t="s">
        <v>13</v>
      </c>
      <c r="K4" t="s">
        <v>152</v>
      </c>
      <c r="L4" t="s">
        <v>159</v>
      </c>
    </row>
    <row r="5" spans="1:14" x14ac:dyDescent="0.3">
      <c r="A5" s="12" t="s">
        <v>58</v>
      </c>
      <c r="B5" s="12" t="s">
        <v>143</v>
      </c>
      <c r="C5" s="12" t="s">
        <v>13</v>
      </c>
      <c r="L5" t="s">
        <v>160</v>
      </c>
    </row>
    <row r="6" spans="1:14" x14ac:dyDescent="0.3">
      <c r="A6" s="12" t="s">
        <v>59</v>
      </c>
      <c r="B6" s="12" t="s">
        <v>144</v>
      </c>
      <c r="C6" s="12" t="s">
        <v>13</v>
      </c>
      <c r="K6" t="s">
        <v>153</v>
      </c>
      <c r="L6" t="s">
        <v>166</v>
      </c>
    </row>
    <row r="7" spans="1:14" x14ac:dyDescent="0.3">
      <c r="A7" s="7" t="s">
        <v>138</v>
      </c>
      <c r="B7" s="7" t="s">
        <v>145</v>
      </c>
      <c r="C7" s="7" t="s">
        <v>72</v>
      </c>
      <c r="M7" t="s">
        <v>161</v>
      </c>
    </row>
    <row r="8" spans="1:14" x14ac:dyDescent="0.3">
      <c r="A8" s="7" t="s">
        <v>139</v>
      </c>
      <c r="B8" s="7" t="s">
        <v>146</v>
      </c>
      <c r="C8" s="7" t="s">
        <v>72</v>
      </c>
      <c r="M8" t="s">
        <v>178</v>
      </c>
    </row>
    <row r="9" spans="1:14" x14ac:dyDescent="0.3">
      <c r="A9" s="7" t="s">
        <v>150</v>
      </c>
      <c r="B9" s="7" t="s">
        <v>149</v>
      </c>
      <c r="C9" s="7" t="s">
        <v>15</v>
      </c>
      <c r="M9" t="s">
        <v>162</v>
      </c>
    </row>
    <row r="10" spans="1:14" x14ac:dyDescent="0.3">
      <c r="A10" s="7" t="s">
        <v>140</v>
      </c>
      <c r="B10" s="7" t="s">
        <v>147</v>
      </c>
      <c r="C10" t="s">
        <v>148</v>
      </c>
      <c r="M10" t="s">
        <v>164</v>
      </c>
    </row>
    <row r="11" spans="1:14" x14ac:dyDescent="0.3">
      <c r="L11" t="s">
        <v>163</v>
      </c>
    </row>
    <row r="12" spans="1:14" x14ac:dyDescent="0.3">
      <c r="K12" t="s">
        <v>154</v>
      </c>
    </row>
    <row r="13" spans="1:14" x14ac:dyDescent="0.3">
      <c r="A13" s="8" t="s">
        <v>137</v>
      </c>
      <c r="B13" s="13" t="s">
        <v>141</v>
      </c>
      <c r="C13" s="13" t="s">
        <v>142</v>
      </c>
      <c r="D13" s="12" t="s">
        <v>143</v>
      </c>
      <c r="E13" s="12" t="s">
        <v>144</v>
      </c>
      <c r="F13" s="10" t="s">
        <v>145</v>
      </c>
      <c r="G13" s="10" t="s">
        <v>146</v>
      </c>
      <c r="H13" s="7" t="s">
        <v>149</v>
      </c>
      <c r="I13" s="7" t="s">
        <v>147</v>
      </c>
      <c r="K13" t="s">
        <v>142</v>
      </c>
      <c r="L13" t="s">
        <v>165</v>
      </c>
      <c r="M13" t="s">
        <v>167</v>
      </c>
      <c r="N13" t="s">
        <v>168</v>
      </c>
    </row>
    <row r="14" spans="1:14" x14ac:dyDescent="0.3">
      <c r="A14">
        <v>1</v>
      </c>
      <c r="B14" s="2" t="s">
        <v>16</v>
      </c>
      <c r="C14" s="2" t="s">
        <v>17</v>
      </c>
      <c r="D14" t="s">
        <v>117</v>
      </c>
      <c r="E14" t="s">
        <v>77</v>
      </c>
      <c r="F14" s="5">
        <v>46027</v>
      </c>
      <c r="G14" s="5">
        <v>46034</v>
      </c>
      <c r="H14">
        <v>0</v>
      </c>
      <c r="I14">
        <v>0</v>
      </c>
      <c r="K14" s="2" t="s">
        <v>17</v>
      </c>
      <c r="L14">
        <v>4</v>
      </c>
      <c r="M14">
        <f>SUM(I14:I17)</f>
        <v>30000</v>
      </c>
      <c r="N14" t="s">
        <v>169</v>
      </c>
    </row>
    <row r="15" spans="1:14" x14ac:dyDescent="0.3">
      <c r="A15">
        <v>2</v>
      </c>
      <c r="B15" s="2" t="s">
        <v>16</v>
      </c>
      <c r="C15" s="2" t="s">
        <v>17</v>
      </c>
      <c r="D15" t="s">
        <v>122</v>
      </c>
      <c r="E15" t="s">
        <v>88</v>
      </c>
      <c r="F15" s="5">
        <v>46033</v>
      </c>
      <c r="G15" s="5">
        <v>46041</v>
      </c>
      <c r="H15">
        <v>1</v>
      </c>
      <c r="I15">
        <v>5000</v>
      </c>
      <c r="K15" s="2" t="s">
        <v>23</v>
      </c>
      <c r="L15">
        <v>2</v>
      </c>
      <c r="M15">
        <f>SUM(I18:I19)</f>
        <v>0</v>
      </c>
      <c r="N15" t="s">
        <v>170</v>
      </c>
    </row>
    <row r="16" spans="1:14" x14ac:dyDescent="0.3">
      <c r="A16">
        <v>3</v>
      </c>
      <c r="B16" s="2" t="s">
        <v>16</v>
      </c>
      <c r="C16" s="2" t="s">
        <v>17</v>
      </c>
      <c r="D16" t="s">
        <v>126</v>
      </c>
      <c r="E16" t="s">
        <v>96</v>
      </c>
      <c r="F16" s="5">
        <v>46045</v>
      </c>
      <c r="G16" s="5">
        <v>46054</v>
      </c>
      <c r="H16">
        <v>2</v>
      </c>
      <c r="I16">
        <v>10000</v>
      </c>
      <c r="K16" t="s">
        <v>26</v>
      </c>
      <c r="L16">
        <v>4</v>
      </c>
      <c r="M16">
        <f>SUM(I30:I33)</f>
        <v>50000</v>
      </c>
      <c r="N16" t="s">
        <v>169</v>
      </c>
    </row>
    <row r="17" spans="1:14" x14ac:dyDescent="0.3">
      <c r="A17">
        <v>4</v>
      </c>
      <c r="B17" s="2" t="s">
        <v>16</v>
      </c>
      <c r="C17" s="2" t="s">
        <v>17</v>
      </c>
      <c r="D17" t="s">
        <v>131</v>
      </c>
      <c r="E17" t="s">
        <v>107</v>
      </c>
      <c r="F17" s="5">
        <v>46057</v>
      </c>
      <c r="G17" s="5">
        <v>46067</v>
      </c>
      <c r="H17">
        <v>3</v>
      </c>
      <c r="I17">
        <v>15000</v>
      </c>
      <c r="K17" s="2" t="s">
        <v>38</v>
      </c>
      <c r="L17">
        <v>4</v>
      </c>
      <c r="M17">
        <f>SUM(I24:I27)</f>
        <v>50000</v>
      </c>
      <c r="N17" t="s">
        <v>169</v>
      </c>
    </row>
    <row r="18" spans="1:14" x14ac:dyDescent="0.3">
      <c r="A18">
        <v>5</v>
      </c>
      <c r="B18" s="2" t="s">
        <v>22</v>
      </c>
      <c r="C18" s="2" t="s">
        <v>23</v>
      </c>
      <c r="D18" t="s">
        <v>124</v>
      </c>
      <c r="E18" t="s">
        <v>92</v>
      </c>
      <c r="F18" s="5">
        <v>46069</v>
      </c>
      <c r="G18" s="5">
        <v>46076</v>
      </c>
      <c r="H18">
        <v>0</v>
      </c>
      <c r="I18">
        <v>0</v>
      </c>
      <c r="K18" s="2" t="s">
        <v>32</v>
      </c>
      <c r="L18">
        <v>2</v>
      </c>
      <c r="M18">
        <f>SUM(I28:I29)</f>
        <v>25000</v>
      </c>
      <c r="N18" t="s">
        <v>169</v>
      </c>
    </row>
    <row r="19" spans="1:14" x14ac:dyDescent="0.3">
      <c r="A19">
        <v>6</v>
      </c>
      <c r="B19" s="2" t="s">
        <v>22</v>
      </c>
      <c r="C19" s="2" t="s">
        <v>23</v>
      </c>
      <c r="D19" t="s">
        <v>126</v>
      </c>
      <c r="E19" t="s">
        <v>96</v>
      </c>
      <c r="F19" s="5">
        <v>46081</v>
      </c>
      <c r="G19" s="5">
        <v>46088</v>
      </c>
      <c r="H19">
        <v>0</v>
      </c>
      <c r="I19">
        <v>0</v>
      </c>
      <c r="K19" s="2" t="s">
        <v>29</v>
      </c>
      <c r="L19">
        <v>4</v>
      </c>
      <c r="M19">
        <f>SUM(I20:I23)</f>
        <v>30000</v>
      </c>
      <c r="N19" t="s">
        <v>169</v>
      </c>
    </row>
    <row r="20" spans="1:14" x14ac:dyDescent="0.3">
      <c r="A20">
        <v>7</v>
      </c>
      <c r="B20" s="2" t="s">
        <v>28</v>
      </c>
      <c r="C20" s="2" t="s">
        <v>29</v>
      </c>
      <c r="D20" t="s">
        <v>119</v>
      </c>
      <c r="E20" t="s">
        <v>81</v>
      </c>
      <c r="F20" s="5">
        <v>46090</v>
      </c>
      <c r="G20" s="5">
        <v>46097</v>
      </c>
      <c r="H20">
        <v>0</v>
      </c>
      <c r="I20">
        <v>0</v>
      </c>
    </row>
    <row r="21" spans="1:14" x14ac:dyDescent="0.3">
      <c r="A21">
        <v>8</v>
      </c>
      <c r="B21" s="2" t="s">
        <v>28</v>
      </c>
      <c r="C21" s="2" t="s">
        <v>29</v>
      </c>
      <c r="D21" t="s">
        <v>120</v>
      </c>
      <c r="E21" t="s">
        <v>83</v>
      </c>
      <c r="F21" s="5">
        <v>46099</v>
      </c>
      <c r="G21" s="5">
        <v>46107</v>
      </c>
      <c r="H21">
        <v>1</v>
      </c>
      <c r="I21">
        <v>5000</v>
      </c>
    </row>
    <row r="22" spans="1:14" x14ac:dyDescent="0.3">
      <c r="A22">
        <v>9</v>
      </c>
      <c r="B22" s="2" t="s">
        <v>28</v>
      </c>
      <c r="C22" s="2" t="s">
        <v>29</v>
      </c>
      <c r="D22" t="s">
        <v>127</v>
      </c>
      <c r="E22" t="s">
        <v>98</v>
      </c>
      <c r="F22" s="5">
        <v>46114</v>
      </c>
      <c r="G22" s="5">
        <v>46123</v>
      </c>
      <c r="H22">
        <v>2</v>
      </c>
      <c r="I22">
        <v>10000</v>
      </c>
    </row>
    <row r="23" spans="1:14" x14ac:dyDescent="0.3">
      <c r="A23">
        <v>10</v>
      </c>
      <c r="B23" s="2" t="s">
        <v>28</v>
      </c>
      <c r="C23" s="2" t="s">
        <v>29</v>
      </c>
      <c r="D23" t="s">
        <v>128</v>
      </c>
      <c r="E23" t="s">
        <v>101</v>
      </c>
      <c r="F23" s="5">
        <v>46127</v>
      </c>
      <c r="G23" s="5">
        <v>46137</v>
      </c>
      <c r="H23">
        <v>3</v>
      </c>
      <c r="I23">
        <v>15000</v>
      </c>
    </row>
    <row r="24" spans="1:14" x14ac:dyDescent="0.3">
      <c r="A24">
        <v>11</v>
      </c>
      <c r="B24" s="2" t="s">
        <v>37</v>
      </c>
      <c r="C24" s="2" t="s">
        <v>38</v>
      </c>
      <c r="D24" t="s">
        <v>117</v>
      </c>
      <c r="E24" t="s">
        <v>77</v>
      </c>
      <c r="F24" s="5">
        <v>46143</v>
      </c>
      <c r="G24" s="5">
        <v>46154</v>
      </c>
      <c r="H24">
        <v>4</v>
      </c>
      <c r="I24">
        <v>20000</v>
      </c>
    </row>
    <row r="25" spans="1:14" x14ac:dyDescent="0.3">
      <c r="A25">
        <v>12</v>
      </c>
      <c r="B25" s="2" t="s">
        <v>37</v>
      </c>
      <c r="C25" s="2" t="s">
        <v>38</v>
      </c>
      <c r="D25" t="s">
        <v>124</v>
      </c>
      <c r="E25" t="s">
        <v>92</v>
      </c>
      <c r="F25" s="5">
        <v>46160</v>
      </c>
      <c r="G25" s="5">
        <v>46172</v>
      </c>
      <c r="H25">
        <v>5</v>
      </c>
      <c r="I25">
        <v>25000</v>
      </c>
    </row>
    <row r="26" spans="1:14" x14ac:dyDescent="0.3">
      <c r="A26">
        <v>13</v>
      </c>
      <c r="B26" s="2" t="s">
        <v>37</v>
      </c>
      <c r="C26" s="2" t="s">
        <v>38</v>
      </c>
      <c r="D26" t="s">
        <v>125</v>
      </c>
      <c r="E26" t="s">
        <v>94</v>
      </c>
      <c r="F26" s="5">
        <v>46180</v>
      </c>
      <c r="G26" s="5">
        <v>46187</v>
      </c>
      <c r="H26">
        <v>0</v>
      </c>
      <c r="I26">
        <v>0</v>
      </c>
    </row>
    <row r="27" spans="1:14" x14ac:dyDescent="0.3">
      <c r="A27">
        <v>14</v>
      </c>
      <c r="B27" s="2" t="s">
        <v>37</v>
      </c>
      <c r="C27" s="2" t="s">
        <v>38</v>
      </c>
      <c r="D27" t="s">
        <v>126</v>
      </c>
      <c r="E27" t="s">
        <v>96</v>
      </c>
      <c r="F27" s="5">
        <v>46193</v>
      </c>
      <c r="G27" s="5">
        <v>46201</v>
      </c>
      <c r="H27">
        <v>1</v>
      </c>
      <c r="I27">
        <v>5000</v>
      </c>
    </row>
    <row r="28" spans="1:14" x14ac:dyDescent="0.3">
      <c r="A28">
        <v>15</v>
      </c>
      <c r="B28" s="2" t="s">
        <v>31</v>
      </c>
      <c r="C28" s="2" t="s">
        <v>32</v>
      </c>
      <c r="D28" t="s">
        <v>131</v>
      </c>
      <c r="E28" t="s">
        <v>107</v>
      </c>
      <c r="F28" s="5">
        <v>46207</v>
      </c>
      <c r="G28" s="5">
        <v>46216</v>
      </c>
      <c r="H28">
        <v>2</v>
      </c>
      <c r="I28">
        <v>10000</v>
      </c>
    </row>
    <row r="29" spans="1:14" x14ac:dyDescent="0.3">
      <c r="A29">
        <v>16</v>
      </c>
      <c r="B29" s="2" t="s">
        <v>31</v>
      </c>
      <c r="C29" s="2" t="s">
        <v>32</v>
      </c>
      <c r="D29" t="s">
        <v>132</v>
      </c>
      <c r="E29" t="s">
        <v>108</v>
      </c>
      <c r="F29" s="5">
        <v>46243</v>
      </c>
      <c r="G29" s="5">
        <v>46253</v>
      </c>
      <c r="H29">
        <v>3</v>
      </c>
      <c r="I29">
        <v>15000</v>
      </c>
    </row>
    <row r="30" spans="1:14" x14ac:dyDescent="0.3">
      <c r="A30">
        <v>17</v>
      </c>
      <c r="B30" t="s">
        <v>25</v>
      </c>
      <c r="C30" t="s">
        <v>26</v>
      </c>
      <c r="D30" t="s">
        <v>125</v>
      </c>
      <c r="E30" t="s">
        <v>94</v>
      </c>
      <c r="F30" s="5">
        <v>46266</v>
      </c>
      <c r="G30" s="5">
        <v>46277</v>
      </c>
      <c r="H30">
        <v>4</v>
      </c>
      <c r="I30">
        <v>20000</v>
      </c>
    </row>
    <row r="31" spans="1:14" x14ac:dyDescent="0.3">
      <c r="A31">
        <v>18</v>
      </c>
      <c r="B31" t="s">
        <v>25</v>
      </c>
      <c r="C31" t="s">
        <v>26</v>
      </c>
      <c r="D31" t="s">
        <v>126</v>
      </c>
      <c r="E31" t="s">
        <v>96</v>
      </c>
      <c r="F31" s="5">
        <v>46300</v>
      </c>
      <c r="G31" s="5">
        <v>46312</v>
      </c>
      <c r="H31">
        <v>5</v>
      </c>
      <c r="I31">
        <v>25000</v>
      </c>
    </row>
    <row r="32" spans="1:14" x14ac:dyDescent="0.3">
      <c r="A32">
        <v>19</v>
      </c>
      <c r="B32" t="s">
        <v>25</v>
      </c>
      <c r="C32" t="s">
        <v>26</v>
      </c>
      <c r="D32" t="s">
        <v>134</v>
      </c>
      <c r="E32" t="s">
        <v>112</v>
      </c>
      <c r="F32" s="5">
        <v>46337</v>
      </c>
      <c r="G32" s="5">
        <v>46344</v>
      </c>
      <c r="H32">
        <v>0</v>
      </c>
      <c r="I32">
        <v>0</v>
      </c>
    </row>
    <row r="33" spans="1:9" x14ac:dyDescent="0.3">
      <c r="A33">
        <v>20</v>
      </c>
      <c r="B33" t="s">
        <v>25</v>
      </c>
      <c r="C33" t="s">
        <v>26</v>
      </c>
      <c r="D33" t="s">
        <v>135</v>
      </c>
      <c r="E33" t="s">
        <v>114</v>
      </c>
      <c r="F33" s="5">
        <v>46359</v>
      </c>
      <c r="G33" s="5">
        <v>46367</v>
      </c>
      <c r="H33">
        <v>1</v>
      </c>
      <c r="I3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data_anggota</vt:lpstr>
      <vt:lpstr>data_buku</vt:lpstr>
      <vt:lpstr>data_peminjaman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Rugun Christiany</dc:creator>
  <cp:lastModifiedBy>Anastasia Rugun Christiany</cp:lastModifiedBy>
  <dcterms:created xsi:type="dcterms:W3CDTF">2026-06-06T04:39:14Z</dcterms:created>
  <dcterms:modified xsi:type="dcterms:W3CDTF">2026-06-06T06:37:29Z</dcterms:modified>
</cp:coreProperties>
</file>